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NT\GRUPO\2-FISCAL\2025\Importação\RENQIU\CONTAINER 2505-02\"/>
    </mc:Choice>
  </mc:AlternateContent>
  <xr:revisionPtr revIDLastSave="0" documentId="13_ncr:1_{D8197A01-47D8-468A-8634-6C51FBC15E1B}" xr6:coauthVersionLast="47" xr6:coauthVersionMax="47" xr10:uidLastSave="{00000000-0000-0000-0000-000000000000}"/>
  <bookViews>
    <workbookView xWindow="-110" yWindow="-110" windowWidth="19420" windowHeight="10300" xr2:uid="{2B4AA12D-628F-405A-A9DE-8F74C6ADE1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5" i="1" l="1"/>
  <c r="Z12" i="1"/>
  <c r="N3" i="1"/>
  <c r="N4" i="1"/>
  <c r="N5" i="1"/>
  <c r="N6" i="1"/>
  <c r="N7" i="1"/>
  <c r="N8" i="1"/>
  <c r="N9" i="1"/>
  <c r="N10" i="1"/>
  <c r="N11" i="1"/>
  <c r="N12" i="1"/>
  <c r="N2" i="1"/>
  <c r="AV10" i="1"/>
  <c r="AV3" i="1"/>
  <c r="AV4" i="1"/>
  <c r="AV5" i="1"/>
  <c r="AV6" i="1"/>
  <c r="AV7" i="1"/>
  <c r="AV8" i="1"/>
  <c r="AV9" i="1"/>
  <c r="AV11" i="1"/>
  <c r="AV2" i="1"/>
  <c r="AV12" i="1" l="1"/>
</calcChain>
</file>

<file path=xl/sharedStrings.xml><?xml version="1.0" encoding="utf-8"?>
<sst xmlns="http://schemas.openxmlformats.org/spreadsheetml/2006/main" count="156" uniqueCount="85">
  <si>
    <t>Nr.DI/Duimp</t>
  </si>
  <si>
    <t>Data DI/Duimp</t>
  </si>
  <si>
    <t>Pedido</t>
  </si>
  <si>
    <t>Produto</t>
  </si>
  <si>
    <t>Descricao</t>
  </si>
  <si>
    <t>Adicao</t>
  </si>
  <si>
    <t>Seq.Item DI</t>
  </si>
  <si>
    <t>NCM</t>
  </si>
  <si>
    <t>Fob</t>
  </si>
  <si>
    <t>Frete</t>
  </si>
  <si>
    <t>Seguro</t>
  </si>
  <si>
    <t>Acrescimo</t>
  </si>
  <si>
    <t>Deducao</t>
  </si>
  <si>
    <t>Qtde</t>
  </si>
  <si>
    <t>Unidade</t>
  </si>
  <si>
    <t>CIF Unitario</t>
  </si>
  <si>
    <t>CIF Total</t>
  </si>
  <si>
    <t>II Recolhido</t>
  </si>
  <si>
    <t>% II</t>
  </si>
  <si>
    <t>Base do IPI</t>
  </si>
  <si>
    <t>% IPI</t>
  </si>
  <si>
    <t>IPI Recolhido</t>
  </si>
  <si>
    <t>Base do ICMS</t>
  </si>
  <si>
    <t>Base Final do ICMS</t>
  </si>
  <si>
    <t>% ICMS</t>
  </si>
  <si>
    <t>% Red.ICMS</t>
  </si>
  <si>
    <t>ICMS</t>
  </si>
  <si>
    <t>Base Pis/Cofins</t>
  </si>
  <si>
    <t>% Pis</t>
  </si>
  <si>
    <t>PIS Recolhido</t>
  </si>
  <si>
    <t>% Cofins</t>
  </si>
  <si>
    <t>COFINS Recolhido</t>
  </si>
  <si>
    <t>AntiDumping</t>
  </si>
  <si>
    <t>Tx. Siscomex</t>
  </si>
  <si>
    <t>Peso Liquido</t>
  </si>
  <si>
    <t>Peso Bruto</t>
  </si>
  <si>
    <t>Nr.LI</t>
  </si>
  <si>
    <t>FOB Unitario M.Neg</t>
  </si>
  <si>
    <t>FOB Total M.Neg</t>
  </si>
  <si>
    <t>FRT Unitario M.Neg</t>
  </si>
  <si>
    <t>FRT Total M.Neg</t>
  </si>
  <si>
    <t>Fabricante</t>
  </si>
  <si>
    <t>Exportador</t>
  </si>
  <si>
    <t>Marinha Mercante</t>
  </si>
  <si>
    <t>25/2253060-6</t>
  </si>
  <si>
    <t/>
  </si>
  <si>
    <t>075563</t>
  </si>
  <si>
    <t>075563 - PARTES DE MOTOCICLETAS, DO TIPO ENGRENAGEM DE TRANSMISSAO, SENDO COROA - DID TITAN 150  - (DWG: 150(H)-428-43R-110D)</t>
  </si>
  <si>
    <t>001</t>
  </si>
  <si>
    <t>8714.10.00</t>
  </si>
  <si>
    <t>PCS</t>
  </si>
  <si>
    <t>25/2960901-4</t>
  </si>
  <si>
    <t>RENQIU SHUNTIAN MOTORCYCLE PARTS CO. LTD</t>
  </si>
  <si>
    <t>075570</t>
  </si>
  <si>
    <t>075570 - PARTES DE MOTOCICLETAS, DO TIPO ENGRENAGEM DE TRANSMISSAO, SENDO COROA - DID YBR 150 FACTOR  - (DWG : 150(Y)-428-39R-110D)</t>
  </si>
  <si>
    <t>075572</t>
  </si>
  <si>
    <t>075572 - PARTES DE MOTOCICLETAS, DO TIPO ENGRENAGEM DE TRANSMISSAO, SENDO COROA - DID XTZ 150 CROSSER  - (DWG : 150(Y)-428-41R-120D)</t>
  </si>
  <si>
    <t>075573</t>
  </si>
  <si>
    <t>075573 - PARTES DE MOTOCICLETAS, DO TIPO ENGRENAGEM DE TRANSMISSAO, SENDO COROA - DID YS 150 FAZER - (DWG :150(Y)-428-41R-110D)</t>
  </si>
  <si>
    <t>075586</t>
  </si>
  <si>
    <t>075586 - PARTES DE MOTOCICLETAS, DO TIPO ENGRENAGEM DE TRANSMISSAO, SENDO PINHAO - DID TITAN 150 - (DWG : 150(H)-428-16D-110D)</t>
  </si>
  <si>
    <t>002</t>
  </si>
  <si>
    <t>25/2960902-2</t>
  </si>
  <si>
    <t>075594</t>
  </si>
  <si>
    <t>075594 - PARTES DE MOTOCICLETAS, DO TIPO ENGRENAGEM DE TRANSMISSAO, SENDO PINHAO - DID YBR 150 FACTOR  - (DWG :150(Y)-428-14D-110D)</t>
  </si>
  <si>
    <t>075596</t>
  </si>
  <si>
    <t>075596 - PARTES DE MOTOCICLETAS, DO TIPO ENGRENAGEM DE TRANSMISSAO, SENDO PINHAO - DID XTZ 150 CROSSER - (DWG :150(Y)-428-14D-110D)</t>
  </si>
  <si>
    <t>075597</t>
  </si>
  <si>
    <t>075597 - PARTES DE MOTOCICLETAS, DO TIPO ENGRENAGEM DE TRANSMISSAO, SENDO PINHAO - DID YS 150 FAZER - (DWG :150(Y)-428-14D-110D)</t>
  </si>
  <si>
    <t>080993</t>
  </si>
  <si>
    <t>080993 - PARTES DE MOTOCICLETAS, DO TIPO RODA DENTADA DE TRANSMISSAO EM ACO, SENDO PINHAO MODELO FZ15 - 14T - CONF. DES. 150(Y)-428-14D-110D</t>
  </si>
  <si>
    <t>080994</t>
  </si>
  <si>
    <t>080994 - PARTES DE MOTOCICLETAS, DO TIPO RODA DENTADA DE TRANSMISSAO EM ACO, SENDO COROA PARA MOTOCICLETA MODELO  FZ15 - 41T - CONF. DES. 150(Y)-428-41R-130D</t>
  </si>
  <si>
    <t>1</t>
  </si>
  <si>
    <t>5</t>
  </si>
  <si>
    <t>2</t>
  </si>
  <si>
    <t>4</t>
  </si>
  <si>
    <t>3</t>
  </si>
  <si>
    <t>9</t>
  </si>
  <si>
    <t>8</t>
  </si>
  <si>
    <t>7</t>
  </si>
  <si>
    <t>6</t>
  </si>
  <si>
    <t>10</t>
  </si>
  <si>
    <t xml:space="preserve">despesas </t>
  </si>
  <si>
    <t xml:space="preserve">INVOICE  CONTAINER 2505-02  DI 25/2253060-6  08.10.2025 PIS 2,10% 6.183,60 COFINS 9,65% 28.415,13  TX 192,79 AFRMM 1920,16  ICMS 88.658,36 CAMB USD 5,3363. 10 PALLETS  PB/PL 10.982/10.833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</si>
</sst>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8" formatCode="_-* #,##0.00_-;\-* #,##0.00_-;_-* &quot;-&quot;??_-;_-@_-"/>
    <numFmt numFmtId="172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43" fontId="0" fillId="0" borderId="0" xfId="1" applyFont="1"/>
    <xf numFmtId="43" fontId="1" fillId="0" borderId="0" xfId="1" applyFont="1"/>
    <xf numFmtId="0" fontId="0" fillId="0" borderId="0" xfId="0"/>
    <xf numFmtId="4" fontId="0" fillId="0" borderId="0" xfId="0" applyNumberFormat="1"/>
    <xf numFmtId="4" fontId="1" fillId="2" borderId="0" xfId="0" applyNumberFormat="1" applyFont="1" applyFill="1"/>
    <xf numFmtId="172" fontId="0" fillId="0" borderId="0" xfId="0" applyNumberFormat="1"/>
    <xf numFmtId="43" fontId="1" fillId="2" borderId="0" xfId="0" applyNumberFormat="1" applyFont="1" applyFill="1"/>
  </cellXfs>
  <cellStyles count="3">
    <cellStyle name="Normal" xfId="0" builtinId="0"/>
    <cellStyle name="Vírgula" xfId="1" builtinId="3"/>
    <cellStyle name="Vírgula 2" xfId="2" xr:uid="{412F4D3F-F03B-449E-97C9-EAF4C63F1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1666-7275-42DC-975A-B5C0642E3F1C}">
  <dimension ref="A1:AV18"/>
  <sheetViews>
    <sheetView tabSelected="1" topLeftCell="T1" zoomScale="90" zoomScaleNormal="90" workbookViewId="0">
      <selection activeCell="Z2" sqref="Z2:Z11"/>
    </sheetView>
  </sheetViews>
  <sheetFormatPr defaultRowHeight="14.5" x14ac:dyDescent="0.35"/>
  <cols>
    <col min="2" max="2" width="12.6328125" customWidth="1"/>
    <col min="3" max="3" width="8.90625" style="1"/>
    <col min="4" max="5" width="14" style="1" customWidth="1"/>
    <col min="6" max="6" width="15.453125" customWidth="1"/>
    <col min="7" max="7" width="8.90625" style="1"/>
    <col min="10" max="10" width="10.08984375" bestFit="1" customWidth="1"/>
    <col min="11" max="11" width="9.08984375" bestFit="1" customWidth="1"/>
    <col min="14" max="14" width="9.453125" style="11" bestFit="1" customWidth="1"/>
    <col min="19" max="19" width="10.08984375" bestFit="1" customWidth="1"/>
    <col min="20" max="20" width="9.08984375" bestFit="1" customWidth="1"/>
    <col min="22" max="22" width="10.08984375" bestFit="1" customWidth="1"/>
    <col min="24" max="24" width="9.08984375" bestFit="1" customWidth="1"/>
    <col min="25" max="25" width="10.08984375" bestFit="1" customWidth="1"/>
    <col min="26" max="26" width="17" bestFit="1" customWidth="1"/>
    <col min="29" max="29" width="9.08984375" bestFit="1" customWidth="1"/>
    <col min="30" max="30" width="10.08984375" bestFit="1" customWidth="1"/>
    <col min="34" max="34" width="9.08984375" bestFit="1" customWidth="1"/>
    <col min="37" max="38" width="10.08984375" bestFit="1" customWidth="1"/>
    <col min="46" max="46" width="9.1796875" bestFit="1" customWidth="1"/>
    <col min="48" max="48" width="9.1796875" bestFit="1" customWidth="1"/>
  </cols>
  <sheetData>
    <row r="1" spans="1:48" x14ac:dyDescent="0.35">
      <c r="A1" t="s">
        <v>0</v>
      </c>
      <c r="B1" t="s">
        <v>1</v>
      </c>
      <c r="C1" s="1" t="s">
        <v>2</v>
      </c>
      <c r="D1" s="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V1" t="s">
        <v>83</v>
      </c>
    </row>
    <row r="2" spans="1:48" x14ac:dyDescent="0.35">
      <c r="A2" t="s">
        <v>44</v>
      </c>
      <c r="B2" s="2">
        <v>45938</v>
      </c>
      <c r="C2" s="1" t="s">
        <v>45</v>
      </c>
      <c r="D2" s="1" t="s">
        <v>46</v>
      </c>
      <c r="E2" s="1" t="s">
        <v>73</v>
      </c>
      <c r="F2" t="s">
        <v>47</v>
      </c>
      <c r="G2" s="1" t="s">
        <v>48</v>
      </c>
      <c r="H2">
        <v>1</v>
      </c>
      <c r="I2" t="s">
        <v>49</v>
      </c>
      <c r="J2" s="3">
        <v>28922.745999999999</v>
      </c>
      <c r="K2" s="3">
        <v>2669.479949</v>
      </c>
      <c r="L2">
        <v>31.037544</v>
      </c>
      <c r="M2">
        <v>0</v>
      </c>
      <c r="N2" s="14">
        <f>J2/P2</f>
        <v>14.461373</v>
      </c>
      <c r="O2">
        <v>0</v>
      </c>
      <c r="P2" s="3">
        <v>2000</v>
      </c>
      <c r="Q2" t="s">
        <v>50</v>
      </c>
      <c r="R2">
        <v>15.811631999999999</v>
      </c>
      <c r="S2" s="3">
        <v>31623.26</v>
      </c>
      <c r="T2" s="3">
        <v>4553.75</v>
      </c>
      <c r="U2">
        <v>14.4</v>
      </c>
      <c r="V2" s="3">
        <v>36177.01</v>
      </c>
      <c r="W2">
        <v>9</v>
      </c>
      <c r="X2" s="3">
        <v>3255.93</v>
      </c>
      <c r="Y2" s="3">
        <v>43375.6</v>
      </c>
      <c r="Z2" s="3">
        <v>52897.07</v>
      </c>
      <c r="AA2">
        <v>18</v>
      </c>
      <c r="AB2">
        <v>0</v>
      </c>
      <c r="AC2" s="3">
        <v>9521.4699999999993</v>
      </c>
      <c r="AD2" s="3">
        <v>31623.26</v>
      </c>
      <c r="AE2">
        <v>2.1</v>
      </c>
      <c r="AF2">
        <v>664.09</v>
      </c>
      <c r="AG2">
        <v>9.65</v>
      </c>
      <c r="AH2" s="3">
        <v>3051.64</v>
      </c>
      <c r="AI2">
        <v>0</v>
      </c>
      <c r="AJ2">
        <v>20.7</v>
      </c>
      <c r="AK2" s="3">
        <v>1415</v>
      </c>
      <c r="AL2" s="3">
        <v>1434.4613899999999</v>
      </c>
      <c r="AM2" t="s">
        <v>51</v>
      </c>
      <c r="AN2">
        <v>2.71</v>
      </c>
      <c r="AO2">
        <v>5420</v>
      </c>
      <c r="AP2">
        <v>0.25012461344002401</v>
      </c>
      <c r="AQ2">
        <v>500.24922688004801</v>
      </c>
      <c r="AR2" t="s">
        <v>52</v>
      </c>
      <c r="AS2" t="s">
        <v>52</v>
      </c>
      <c r="AT2" s="9">
        <v>206.2157</v>
      </c>
      <c r="AV2" s="9">
        <f>AT2+AJ2</f>
        <v>226.91569999999999</v>
      </c>
    </row>
    <row r="3" spans="1:48" x14ac:dyDescent="0.35">
      <c r="A3" t="s">
        <v>44</v>
      </c>
      <c r="B3" s="2">
        <v>45938</v>
      </c>
      <c r="C3" s="1" t="s">
        <v>45</v>
      </c>
      <c r="D3" s="1" t="s">
        <v>53</v>
      </c>
      <c r="E3" s="1" t="s">
        <v>75</v>
      </c>
      <c r="F3" t="s">
        <v>54</v>
      </c>
      <c r="G3" s="1" t="s">
        <v>48</v>
      </c>
      <c r="H3">
        <v>5</v>
      </c>
      <c r="I3" t="s">
        <v>49</v>
      </c>
      <c r="J3" s="3">
        <v>35603.793599999997</v>
      </c>
      <c r="K3" s="3">
        <v>2978.4038660000001</v>
      </c>
      <c r="L3">
        <v>38.207101999999999</v>
      </c>
      <c r="M3">
        <v>0</v>
      </c>
      <c r="N3" s="14">
        <f t="shared" ref="N3:N12" si="0">J3/P3</f>
        <v>11.867931199999999</v>
      </c>
      <c r="O3">
        <v>0</v>
      </c>
      <c r="P3" s="3">
        <v>3000</v>
      </c>
      <c r="Q3" t="s">
        <v>50</v>
      </c>
      <c r="R3">
        <v>12.873468000000001</v>
      </c>
      <c r="S3" s="3">
        <v>38620.400000000001</v>
      </c>
      <c r="T3" s="3">
        <v>5561.34</v>
      </c>
      <c r="U3">
        <v>14.4</v>
      </c>
      <c r="V3" s="3">
        <v>44181.74</v>
      </c>
      <c r="W3">
        <v>9</v>
      </c>
      <c r="X3" s="3">
        <v>3976.36</v>
      </c>
      <c r="Y3" s="3">
        <v>52973.13</v>
      </c>
      <c r="Z3" s="3">
        <v>64601.38</v>
      </c>
      <c r="AA3">
        <v>18</v>
      </c>
      <c r="AB3">
        <v>0</v>
      </c>
      <c r="AC3" s="3">
        <v>11628.25</v>
      </c>
      <c r="AD3" s="3">
        <v>38620.400000000001</v>
      </c>
      <c r="AE3">
        <v>2.1</v>
      </c>
      <c r="AF3">
        <v>811.03</v>
      </c>
      <c r="AG3">
        <v>9.65</v>
      </c>
      <c r="AH3" s="3">
        <v>3726.87</v>
      </c>
      <c r="AI3">
        <v>0</v>
      </c>
      <c r="AJ3">
        <v>25.29</v>
      </c>
      <c r="AK3" s="3">
        <v>1578.75</v>
      </c>
      <c r="AL3" s="3">
        <v>1600.4635499999999</v>
      </c>
      <c r="AM3" t="s">
        <v>51</v>
      </c>
      <c r="AN3">
        <v>2.2240000000000002</v>
      </c>
      <c r="AO3">
        <v>6672</v>
      </c>
      <c r="AP3">
        <v>0.18604675310608473</v>
      </c>
      <c r="AQ3">
        <v>558.14025931825427</v>
      </c>
      <c r="AR3" t="s">
        <v>52</v>
      </c>
      <c r="AS3" t="s">
        <v>52</v>
      </c>
      <c r="AT3" s="9">
        <v>251.8442</v>
      </c>
      <c r="AV3" s="9">
        <f t="shared" ref="AV3:AV11" si="1">AT3+AJ3</f>
        <v>277.13420000000002</v>
      </c>
    </row>
    <row r="4" spans="1:48" x14ac:dyDescent="0.35">
      <c r="A4" t="s">
        <v>44</v>
      </c>
      <c r="B4" s="2">
        <v>45938</v>
      </c>
      <c r="C4" s="1" t="s">
        <v>45</v>
      </c>
      <c r="D4" s="1" t="s">
        <v>55</v>
      </c>
      <c r="E4" s="1" t="s">
        <v>77</v>
      </c>
      <c r="F4" t="s">
        <v>56</v>
      </c>
      <c r="G4" s="1" t="s">
        <v>48</v>
      </c>
      <c r="H4">
        <v>2</v>
      </c>
      <c r="I4" t="s">
        <v>49</v>
      </c>
      <c r="J4" s="3">
        <v>62754.887999999999</v>
      </c>
      <c r="K4" s="3">
        <v>6241.2063900000003</v>
      </c>
      <c r="L4">
        <v>67.343451999999999</v>
      </c>
      <c r="M4">
        <v>0</v>
      </c>
      <c r="N4" s="14">
        <f t="shared" si="0"/>
        <v>12.5509776</v>
      </c>
      <c r="O4">
        <v>0</v>
      </c>
      <c r="P4" s="3">
        <v>5000</v>
      </c>
      <c r="Q4" t="s">
        <v>50</v>
      </c>
      <c r="R4">
        <v>13.812688</v>
      </c>
      <c r="S4" s="3">
        <v>69063.44</v>
      </c>
      <c r="T4" s="3">
        <v>9945.14</v>
      </c>
      <c r="U4">
        <v>14.4</v>
      </c>
      <c r="V4" s="3">
        <v>79008.570000000007</v>
      </c>
      <c r="W4">
        <v>9</v>
      </c>
      <c r="X4" s="3">
        <v>7110.77</v>
      </c>
      <c r="Y4" s="3">
        <v>94729.88</v>
      </c>
      <c r="Z4" s="3">
        <v>115524.24</v>
      </c>
      <c r="AA4">
        <v>18</v>
      </c>
      <c r="AB4">
        <v>0</v>
      </c>
      <c r="AC4" s="3">
        <v>20794.36</v>
      </c>
      <c r="AD4" s="3">
        <v>69063.44</v>
      </c>
      <c r="AE4">
        <v>2.1</v>
      </c>
      <c r="AF4" s="3">
        <v>1450.33</v>
      </c>
      <c r="AG4">
        <v>9.65</v>
      </c>
      <c r="AH4" s="3">
        <v>6664.62</v>
      </c>
      <c r="AI4">
        <v>0</v>
      </c>
      <c r="AJ4">
        <v>45.22</v>
      </c>
      <c r="AK4" s="3">
        <v>3308.25</v>
      </c>
      <c r="AL4" s="3">
        <v>3353.7504600000002</v>
      </c>
      <c r="AM4" t="s">
        <v>51</v>
      </c>
      <c r="AN4">
        <v>2.3519999999999999</v>
      </c>
      <c r="AO4">
        <v>11760</v>
      </c>
      <c r="AP4">
        <v>0.23391512435207915</v>
      </c>
      <c r="AQ4">
        <v>1169.5756217603957</v>
      </c>
      <c r="AR4" t="s">
        <v>52</v>
      </c>
      <c r="AS4" t="s">
        <v>52</v>
      </c>
      <c r="AT4" s="9">
        <v>450.36360000000002</v>
      </c>
      <c r="AV4" s="9">
        <f t="shared" si="1"/>
        <v>495.58360000000005</v>
      </c>
    </row>
    <row r="5" spans="1:48" x14ac:dyDescent="0.35">
      <c r="A5" t="s">
        <v>44</v>
      </c>
      <c r="B5" s="2">
        <v>45938</v>
      </c>
      <c r="C5" s="1" t="s">
        <v>45</v>
      </c>
      <c r="D5" s="1" t="s">
        <v>57</v>
      </c>
      <c r="E5" s="1" t="s">
        <v>76</v>
      </c>
      <c r="F5" t="s">
        <v>58</v>
      </c>
      <c r="G5" s="1" t="s">
        <v>48</v>
      </c>
      <c r="H5">
        <v>4</v>
      </c>
      <c r="I5" t="s">
        <v>49</v>
      </c>
      <c r="J5" s="3">
        <v>37047.262750000002</v>
      </c>
      <c r="K5" s="3">
        <v>2712.8707899999999</v>
      </c>
      <c r="L5">
        <v>39.756115000000001</v>
      </c>
      <c r="M5">
        <v>0</v>
      </c>
      <c r="N5" s="14">
        <f t="shared" si="0"/>
        <v>14.8189051</v>
      </c>
      <c r="O5">
        <v>0</v>
      </c>
      <c r="P5" s="3">
        <v>2500</v>
      </c>
      <c r="Q5" t="s">
        <v>50</v>
      </c>
      <c r="R5">
        <v>15.919956000000001</v>
      </c>
      <c r="S5" s="3">
        <v>39799.89</v>
      </c>
      <c r="T5" s="3">
        <v>5731.18</v>
      </c>
      <c r="U5">
        <v>14.4</v>
      </c>
      <c r="V5" s="3">
        <v>45531.07</v>
      </c>
      <c r="W5">
        <v>9</v>
      </c>
      <c r="X5" s="3">
        <v>4097.8</v>
      </c>
      <c r="Y5" s="3">
        <v>54590.95</v>
      </c>
      <c r="Z5" s="3">
        <v>66574.33</v>
      </c>
      <c r="AA5">
        <v>18</v>
      </c>
      <c r="AB5">
        <v>0</v>
      </c>
      <c r="AC5" s="3">
        <v>11983.38</v>
      </c>
      <c r="AD5" s="3">
        <v>39799.89</v>
      </c>
      <c r="AE5">
        <v>2.1</v>
      </c>
      <c r="AF5">
        <v>835.8</v>
      </c>
      <c r="AG5">
        <v>9.65</v>
      </c>
      <c r="AH5" s="3">
        <v>3840.69</v>
      </c>
      <c r="AI5">
        <v>0</v>
      </c>
      <c r="AJ5">
        <v>26.06</v>
      </c>
      <c r="AK5" s="3">
        <v>1438</v>
      </c>
      <c r="AL5" s="3">
        <v>1457.77773</v>
      </c>
      <c r="AM5" t="s">
        <v>51</v>
      </c>
      <c r="AN5">
        <v>2.7770000000000001</v>
      </c>
      <c r="AO5">
        <v>6942.5</v>
      </c>
      <c r="AP5">
        <v>0.20335219455427919</v>
      </c>
      <c r="AQ5">
        <v>508.38048638569796</v>
      </c>
      <c r="AR5" t="s">
        <v>52</v>
      </c>
      <c r="AS5" t="s">
        <v>52</v>
      </c>
      <c r="AT5" s="9">
        <v>259.53559999999999</v>
      </c>
      <c r="AV5" s="9">
        <f t="shared" si="1"/>
        <v>285.59559999999999</v>
      </c>
    </row>
    <row r="6" spans="1:48" x14ac:dyDescent="0.35">
      <c r="A6" t="s">
        <v>44</v>
      </c>
      <c r="B6" s="2">
        <v>45938</v>
      </c>
      <c r="C6" s="1" t="s">
        <v>45</v>
      </c>
      <c r="D6" s="1" t="s">
        <v>59</v>
      </c>
      <c r="E6" s="1" t="s">
        <v>74</v>
      </c>
      <c r="F6" t="s">
        <v>60</v>
      </c>
      <c r="G6" s="1" t="s">
        <v>61</v>
      </c>
      <c r="H6">
        <v>1</v>
      </c>
      <c r="I6" t="s">
        <v>49</v>
      </c>
      <c r="J6" s="3">
        <v>11067.486199999999</v>
      </c>
      <c r="K6">
        <v>537.66910700000005</v>
      </c>
      <c r="L6">
        <v>11.876728</v>
      </c>
      <c r="M6">
        <v>0</v>
      </c>
      <c r="N6" s="14">
        <f t="shared" si="0"/>
        <v>5.5337430999999997</v>
      </c>
      <c r="O6">
        <v>0</v>
      </c>
      <c r="P6" s="3">
        <v>2000</v>
      </c>
      <c r="Q6" t="s">
        <v>50</v>
      </c>
      <c r="R6">
        <v>5.808516</v>
      </c>
      <c r="S6" s="3">
        <v>11617.03</v>
      </c>
      <c r="T6" s="3">
        <v>1672.85</v>
      </c>
      <c r="U6">
        <v>14.4</v>
      </c>
      <c r="V6" s="3">
        <v>13289.88</v>
      </c>
      <c r="W6">
        <v>9</v>
      </c>
      <c r="X6" s="3">
        <v>1196.0899999999999</v>
      </c>
      <c r="Y6" s="3">
        <v>15934.34</v>
      </c>
      <c r="Z6" s="3">
        <v>19432.12</v>
      </c>
      <c r="AA6">
        <v>18</v>
      </c>
      <c r="AB6">
        <v>0</v>
      </c>
      <c r="AC6" s="3">
        <v>3497.78</v>
      </c>
      <c r="AD6" s="3">
        <v>11617.03</v>
      </c>
      <c r="AE6">
        <v>2.1</v>
      </c>
      <c r="AF6">
        <v>243.96</v>
      </c>
      <c r="AG6">
        <v>9.65</v>
      </c>
      <c r="AH6" s="3">
        <v>1121.04</v>
      </c>
      <c r="AI6">
        <v>0</v>
      </c>
      <c r="AJ6">
        <v>7.61</v>
      </c>
      <c r="AK6">
        <v>285</v>
      </c>
      <c r="AL6">
        <v>288.91978999999998</v>
      </c>
      <c r="AM6" t="s">
        <v>62</v>
      </c>
      <c r="AN6">
        <v>1.0369999999999999</v>
      </c>
      <c r="AO6">
        <v>2074</v>
      </c>
      <c r="AP6">
        <v>5.0378455755860807E-2</v>
      </c>
      <c r="AQ6">
        <v>100.75691151172161</v>
      </c>
      <c r="AR6" t="s">
        <v>52</v>
      </c>
      <c r="AS6" t="s">
        <v>52</v>
      </c>
      <c r="AT6" s="9">
        <v>75.754800000000003</v>
      </c>
      <c r="AV6" s="9">
        <f t="shared" si="1"/>
        <v>83.364800000000002</v>
      </c>
    </row>
    <row r="7" spans="1:48" x14ac:dyDescent="0.35">
      <c r="A7" t="s">
        <v>44</v>
      </c>
      <c r="B7" s="2">
        <v>45938</v>
      </c>
      <c r="C7" s="1" t="s">
        <v>45</v>
      </c>
      <c r="D7" s="1" t="s">
        <v>63</v>
      </c>
      <c r="E7" s="1" t="s">
        <v>81</v>
      </c>
      <c r="F7" t="s">
        <v>64</v>
      </c>
      <c r="G7" s="1" t="s">
        <v>61</v>
      </c>
      <c r="H7">
        <v>5</v>
      </c>
      <c r="I7" t="s">
        <v>49</v>
      </c>
      <c r="J7" s="3">
        <v>13255.369199999999</v>
      </c>
      <c r="K7">
        <v>573.04207399999996</v>
      </c>
      <c r="L7">
        <v>14.224586</v>
      </c>
      <c r="M7">
        <v>0</v>
      </c>
      <c r="N7" s="14">
        <f t="shared" si="0"/>
        <v>4.4184563999999993</v>
      </c>
      <c r="O7">
        <v>0</v>
      </c>
      <c r="P7" s="3">
        <v>3000</v>
      </c>
      <c r="Q7" t="s">
        <v>50</v>
      </c>
      <c r="R7">
        <v>4.6142120000000002</v>
      </c>
      <c r="S7" s="3">
        <v>13842.64</v>
      </c>
      <c r="T7" s="3">
        <v>1993.34</v>
      </c>
      <c r="U7">
        <v>14.4</v>
      </c>
      <c r="V7" s="3">
        <v>15835.98</v>
      </c>
      <c r="W7">
        <v>9</v>
      </c>
      <c r="X7" s="3">
        <v>1425.24</v>
      </c>
      <c r="Y7" s="3">
        <v>18987.05</v>
      </c>
      <c r="Z7" s="3">
        <v>23154.94</v>
      </c>
      <c r="AA7">
        <v>18</v>
      </c>
      <c r="AB7">
        <v>0</v>
      </c>
      <c r="AC7" s="3">
        <v>4167.8900000000003</v>
      </c>
      <c r="AD7" s="3">
        <v>13842.64</v>
      </c>
      <c r="AE7">
        <v>2.1</v>
      </c>
      <c r="AF7">
        <v>290.7</v>
      </c>
      <c r="AG7">
        <v>9.65</v>
      </c>
      <c r="AH7" s="3">
        <v>1335.81</v>
      </c>
      <c r="AI7">
        <v>0</v>
      </c>
      <c r="AJ7">
        <v>9.06</v>
      </c>
      <c r="AK7">
        <v>303.75</v>
      </c>
      <c r="AL7">
        <v>307.92766999999998</v>
      </c>
      <c r="AM7" t="s">
        <v>62</v>
      </c>
      <c r="AN7">
        <v>0.82799999999999996</v>
      </c>
      <c r="AO7">
        <v>2484</v>
      </c>
      <c r="AP7">
        <v>3.5795218559676184E-2</v>
      </c>
      <c r="AQ7">
        <v>107.38565567902856</v>
      </c>
      <c r="AR7" t="s">
        <v>52</v>
      </c>
      <c r="AS7" t="s">
        <v>52</v>
      </c>
      <c r="AT7" s="9">
        <v>90.268000000000001</v>
      </c>
      <c r="AV7" s="9">
        <f t="shared" si="1"/>
        <v>99.328000000000003</v>
      </c>
    </row>
    <row r="8" spans="1:48" x14ac:dyDescent="0.35">
      <c r="A8" t="s">
        <v>44</v>
      </c>
      <c r="B8" s="2">
        <v>45938</v>
      </c>
      <c r="C8" s="1" t="s">
        <v>45</v>
      </c>
      <c r="D8" s="1" t="s">
        <v>65</v>
      </c>
      <c r="E8" s="1" t="s">
        <v>80</v>
      </c>
      <c r="F8" t="s">
        <v>66</v>
      </c>
      <c r="G8" s="1" t="s">
        <v>61</v>
      </c>
      <c r="H8">
        <v>2</v>
      </c>
      <c r="I8" t="s">
        <v>49</v>
      </c>
      <c r="J8" s="3">
        <v>22225.6895</v>
      </c>
      <c r="K8">
        <v>955.07012399999996</v>
      </c>
      <c r="L8">
        <v>23.850805999999999</v>
      </c>
      <c r="M8">
        <v>0</v>
      </c>
      <c r="N8" s="14">
        <f t="shared" si="0"/>
        <v>4.4451378999999998</v>
      </c>
      <c r="O8">
        <v>0</v>
      </c>
      <c r="P8" s="3">
        <v>5000</v>
      </c>
      <c r="Q8" t="s">
        <v>50</v>
      </c>
      <c r="R8">
        <v>4.6409219999999998</v>
      </c>
      <c r="S8" s="3">
        <v>23204.61</v>
      </c>
      <c r="T8" s="3">
        <v>3341.46</v>
      </c>
      <c r="U8">
        <v>14.4</v>
      </c>
      <c r="V8" s="3">
        <v>26546.07</v>
      </c>
      <c r="W8">
        <v>9</v>
      </c>
      <c r="X8" s="3">
        <v>2389.15</v>
      </c>
      <c r="Y8" s="3">
        <v>31828.27</v>
      </c>
      <c r="Z8" s="3">
        <v>38814.97</v>
      </c>
      <c r="AA8">
        <v>18</v>
      </c>
      <c r="AB8">
        <v>0</v>
      </c>
      <c r="AC8" s="3">
        <v>6986.69</v>
      </c>
      <c r="AD8" s="3">
        <v>23204.61</v>
      </c>
      <c r="AE8">
        <v>2.1</v>
      </c>
      <c r="AF8">
        <v>487.3</v>
      </c>
      <c r="AG8">
        <v>9.65</v>
      </c>
      <c r="AH8" s="3">
        <v>2239.2399999999998</v>
      </c>
      <c r="AI8">
        <v>0</v>
      </c>
      <c r="AJ8">
        <v>15.19</v>
      </c>
      <c r="AK8">
        <v>506.25</v>
      </c>
      <c r="AL8">
        <v>513.21277999999995</v>
      </c>
      <c r="AM8" t="s">
        <v>62</v>
      </c>
      <c r="AN8">
        <v>0.83299999999999996</v>
      </c>
      <c r="AO8">
        <v>4165</v>
      </c>
      <c r="AP8">
        <v>3.5795218559676177E-2</v>
      </c>
      <c r="AQ8">
        <v>178.9760927983809</v>
      </c>
      <c r="AR8" t="s">
        <v>52</v>
      </c>
      <c r="AS8" t="s">
        <v>52</v>
      </c>
      <c r="AT8" s="9">
        <v>151.3176</v>
      </c>
      <c r="AV8" s="9">
        <f t="shared" si="1"/>
        <v>166.5076</v>
      </c>
    </row>
    <row r="9" spans="1:48" x14ac:dyDescent="0.35">
      <c r="A9" t="s">
        <v>44</v>
      </c>
      <c r="B9" s="2">
        <v>45938</v>
      </c>
      <c r="C9" s="1" t="s">
        <v>45</v>
      </c>
      <c r="D9" s="1" t="s">
        <v>67</v>
      </c>
      <c r="E9" s="1" t="s">
        <v>79</v>
      </c>
      <c r="F9" t="s">
        <v>68</v>
      </c>
      <c r="G9" s="1" t="s">
        <v>61</v>
      </c>
      <c r="H9">
        <v>4</v>
      </c>
      <c r="I9" t="s">
        <v>49</v>
      </c>
      <c r="J9" s="3">
        <v>13047.253500000001</v>
      </c>
      <c r="K9">
        <v>477.39357000000001</v>
      </c>
      <c r="L9">
        <v>14.001253</v>
      </c>
      <c r="M9">
        <v>0</v>
      </c>
      <c r="N9" s="14">
        <f t="shared" si="0"/>
        <v>5.2189014</v>
      </c>
      <c r="O9">
        <v>0</v>
      </c>
      <c r="P9" s="3">
        <v>2500</v>
      </c>
      <c r="Q9" t="s">
        <v>50</v>
      </c>
      <c r="R9">
        <v>5.4154590000000002</v>
      </c>
      <c r="S9" s="3">
        <v>13538.65</v>
      </c>
      <c r="T9" s="3">
        <v>1949.57</v>
      </c>
      <c r="U9">
        <v>14.4</v>
      </c>
      <c r="V9" s="3">
        <v>15488.21</v>
      </c>
      <c r="W9">
        <v>9</v>
      </c>
      <c r="X9" s="3">
        <v>1393.94</v>
      </c>
      <c r="Y9" s="3">
        <v>18570.09</v>
      </c>
      <c r="Z9" s="3">
        <v>22646.45</v>
      </c>
      <c r="AA9">
        <v>18</v>
      </c>
      <c r="AB9">
        <v>0</v>
      </c>
      <c r="AC9" s="3">
        <v>4076.36</v>
      </c>
      <c r="AD9" s="3">
        <v>13538.65</v>
      </c>
      <c r="AE9">
        <v>2.1</v>
      </c>
      <c r="AF9">
        <v>284.31</v>
      </c>
      <c r="AG9">
        <v>9.65</v>
      </c>
      <c r="AH9" s="3">
        <v>1306.48</v>
      </c>
      <c r="AI9">
        <v>0</v>
      </c>
      <c r="AJ9">
        <v>8.86</v>
      </c>
      <c r="AK9">
        <v>253.05</v>
      </c>
      <c r="AL9">
        <v>256.53035999999997</v>
      </c>
      <c r="AM9" t="s">
        <v>62</v>
      </c>
      <c r="AN9">
        <v>0.97799999999999998</v>
      </c>
      <c r="AO9">
        <v>2445</v>
      </c>
      <c r="AP9">
        <v>3.5784612574255574E-2</v>
      </c>
      <c r="AQ9">
        <v>89.461531435638932</v>
      </c>
      <c r="AR9" t="s">
        <v>52</v>
      </c>
      <c r="AS9" t="s">
        <v>52</v>
      </c>
      <c r="AT9" s="9">
        <v>88.285700000000006</v>
      </c>
      <c r="AV9" s="9">
        <f t="shared" si="1"/>
        <v>97.145700000000005</v>
      </c>
    </row>
    <row r="10" spans="1:48" x14ac:dyDescent="0.35">
      <c r="A10" t="s">
        <v>44</v>
      </c>
      <c r="B10" s="2">
        <v>45938</v>
      </c>
      <c r="C10" s="1" t="s">
        <v>45</v>
      </c>
      <c r="D10" s="1" t="s">
        <v>69</v>
      </c>
      <c r="E10" s="1" t="s">
        <v>78</v>
      </c>
      <c r="F10" t="s">
        <v>70</v>
      </c>
      <c r="G10" s="1" t="s">
        <v>61</v>
      </c>
      <c r="H10">
        <v>3</v>
      </c>
      <c r="I10" t="s">
        <v>49</v>
      </c>
      <c r="J10" s="3">
        <v>11046.141</v>
      </c>
      <c r="K10">
        <v>486.82636200000002</v>
      </c>
      <c r="L10">
        <v>11.853821999999999</v>
      </c>
      <c r="M10">
        <v>0</v>
      </c>
      <c r="N10" s="14">
        <f t="shared" si="0"/>
        <v>4.4184564000000002</v>
      </c>
      <c r="O10">
        <v>0</v>
      </c>
      <c r="P10" s="3">
        <v>2500</v>
      </c>
      <c r="Q10" t="s">
        <v>50</v>
      </c>
      <c r="R10">
        <v>4.617928</v>
      </c>
      <c r="S10" s="3">
        <v>11544.82</v>
      </c>
      <c r="T10" s="3">
        <v>1662.45</v>
      </c>
      <c r="U10">
        <v>14.4</v>
      </c>
      <c r="V10" s="3">
        <v>13207.28</v>
      </c>
      <c r="W10">
        <v>9</v>
      </c>
      <c r="X10" s="3">
        <v>1188.6500000000001</v>
      </c>
      <c r="Y10" s="3">
        <v>15835.29</v>
      </c>
      <c r="Z10" s="3">
        <v>19311.330000000002</v>
      </c>
      <c r="AA10">
        <v>18</v>
      </c>
      <c r="AB10">
        <v>0</v>
      </c>
      <c r="AC10" s="3">
        <v>3476.04</v>
      </c>
      <c r="AD10" s="3">
        <v>11544.82</v>
      </c>
      <c r="AE10">
        <v>2.1</v>
      </c>
      <c r="AF10">
        <v>242.44</v>
      </c>
      <c r="AG10">
        <v>9.65</v>
      </c>
      <c r="AH10" s="3">
        <v>1114.08</v>
      </c>
      <c r="AI10">
        <v>0</v>
      </c>
      <c r="AJ10">
        <v>7.56</v>
      </c>
      <c r="AK10">
        <v>258.05</v>
      </c>
      <c r="AL10">
        <v>261.59913</v>
      </c>
      <c r="AM10" t="s">
        <v>62</v>
      </c>
      <c r="AN10">
        <v>0.82799999999999996</v>
      </c>
      <c r="AO10">
        <v>2070</v>
      </c>
      <c r="AP10">
        <v>3.6491678616269702E-2</v>
      </c>
      <c r="AQ10">
        <v>91.229196540674266</v>
      </c>
      <c r="AR10" t="s">
        <v>52</v>
      </c>
      <c r="AS10" t="s">
        <v>52</v>
      </c>
      <c r="AT10" s="9">
        <v>75.283900000000003</v>
      </c>
      <c r="AV10" s="9">
        <f>AT10+AJ10</f>
        <v>82.843900000000005</v>
      </c>
    </row>
    <row r="11" spans="1:48" x14ac:dyDescent="0.35">
      <c r="A11" t="s">
        <v>44</v>
      </c>
      <c r="B11" s="2">
        <v>45938</v>
      </c>
      <c r="C11" s="1" t="s">
        <v>45</v>
      </c>
      <c r="D11" s="1" t="s">
        <v>71</v>
      </c>
      <c r="E11" s="1" t="s">
        <v>82</v>
      </c>
      <c r="F11" t="s">
        <v>72</v>
      </c>
      <c r="G11" s="1" t="s">
        <v>48</v>
      </c>
      <c r="H11">
        <v>3</v>
      </c>
      <c r="I11" t="s">
        <v>49</v>
      </c>
      <c r="J11" s="3">
        <v>38754.878750000003</v>
      </c>
      <c r="K11" s="3">
        <v>2806.0667680000001</v>
      </c>
      <c r="L11">
        <v>41.588590000000003</v>
      </c>
      <c r="M11">
        <v>0</v>
      </c>
      <c r="N11" s="14">
        <f t="shared" si="0"/>
        <v>15.501951500000001</v>
      </c>
      <c r="O11">
        <v>0</v>
      </c>
      <c r="P11" s="3">
        <v>2500</v>
      </c>
      <c r="Q11" t="s">
        <v>50</v>
      </c>
      <c r="R11">
        <v>16.641013999999998</v>
      </c>
      <c r="S11" s="3">
        <v>41602.53</v>
      </c>
      <c r="T11" s="3">
        <v>5990.76</v>
      </c>
      <c r="U11">
        <v>14.4</v>
      </c>
      <c r="V11" s="3">
        <v>47593.3</v>
      </c>
      <c r="W11">
        <v>9</v>
      </c>
      <c r="X11" s="3">
        <v>4283.3999999999996</v>
      </c>
      <c r="Y11" s="3">
        <v>57063.519999999997</v>
      </c>
      <c r="Z11" s="3">
        <v>69589.649999999994</v>
      </c>
      <c r="AA11">
        <v>18</v>
      </c>
      <c r="AB11">
        <v>0</v>
      </c>
      <c r="AC11" s="3">
        <v>12526.14</v>
      </c>
      <c r="AD11" s="3">
        <v>41602.53</v>
      </c>
      <c r="AE11">
        <v>2.1</v>
      </c>
      <c r="AF11">
        <v>873.65</v>
      </c>
      <c r="AG11">
        <v>9.65</v>
      </c>
      <c r="AH11" s="3">
        <v>4014.64</v>
      </c>
      <c r="AI11">
        <v>0</v>
      </c>
      <c r="AJ11">
        <v>27.24</v>
      </c>
      <c r="AK11" s="3">
        <v>1487.4</v>
      </c>
      <c r="AL11" s="3">
        <v>1507.85716</v>
      </c>
      <c r="AM11" t="s">
        <v>51</v>
      </c>
      <c r="AN11">
        <v>2.9049999999999998</v>
      </c>
      <c r="AO11">
        <v>7262.5</v>
      </c>
      <c r="AP11">
        <v>0.21033800708355979</v>
      </c>
      <c r="AQ11">
        <v>525.84501770889949</v>
      </c>
      <c r="AR11" t="s">
        <v>52</v>
      </c>
      <c r="AS11" t="s">
        <v>52</v>
      </c>
      <c r="AT11" s="9">
        <v>271.29070000000002</v>
      </c>
      <c r="AV11" s="9">
        <f t="shared" si="1"/>
        <v>298.53070000000002</v>
      </c>
    </row>
    <row r="12" spans="1:48" s="4" customFormat="1" x14ac:dyDescent="0.35">
      <c r="C12" s="5"/>
      <c r="D12" s="5"/>
      <c r="E12" s="5"/>
      <c r="G12" s="5"/>
      <c r="J12" s="13">
        <v>273725.5085</v>
      </c>
      <c r="K12" s="13">
        <v>20438.029000000002</v>
      </c>
      <c r="L12" s="13">
        <v>293.73999799999996</v>
      </c>
      <c r="M12" s="7">
        <v>0</v>
      </c>
      <c r="N12" s="11" t="e">
        <f t="shared" si="0"/>
        <v>#DIV/0!</v>
      </c>
      <c r="O12" s="7">
        <v>0</v>
      </c>
      <c r="S12" s="6">
        <v>294457.26999999996</v>
      </c>
      <c r="T12" s="6">
        <v>42401.84</v>
      </c>
      <c r="V12" s="6">
        <v>336859.11000000004</v>
      </c>
      <c r="X12" s="13">
        <v>30317.33</v>
      </c>
      <c r="Y12" s="6">
        <v>403888.12000000005</v>
      </c>
      <c r="Z12" s="6">
        <f>SUM(Z2:Z11)</f>
        <v>492546.4800000001</v>
      </c>
      <c r="AC12" s="13">
        <v>88658.359999999986</v>
      </c>
      <c r="AD12" s="6">
        <v>294457.26999999996</v>
      </c>
      <c r="AF12" s="13">
        <v>6183.61</v>
      </c>
      <c r="AH12" s="13">
        <v>28415.11</v>
      </c>
      <c r="AI12" s="7">
        <v>0</v>
      </c>
      <c r="AJ12" s="6">
        <v>192.79000000000002</v>
      </c>
      <c r="AK12" s="8">
        <v>10833.499999999998</v>
      </c>
      <c r="AL12" s="8">
        <v>10982.500019999999</v>
      </c>
      <c r="AT12" s="10">
        <v>1920.1597999999999</v>
      </c>
      <c r="AV12" s="15">
        <f>SUM(AV2:AV11)</f>
        <v>2112.9498000000003</v>
      </c>
    </row>
    <row r="14" spans="1:48" x14ac:dyDescent="0.35">
      <c r="Z14" s="12">
        <v>497593.46</v>
      </c>
    </row>
    <row r="15" spans="1:48" x14ac:dyDescent="0.35">
      <c r="Z15" s="12">
        <f>Z14-Z12</f>
        <v>5046.9799999999232</v>
      </c>
    </row>
    <row r="18" spans="30:30" x14ac:dyDescent="0.35">
      <c r="AD18" s="11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Samille Cristine Ferreira</dc:creator>
  <cp:lastModifiedBy>Luis Gustavo de Moraes</cp:lastModifiedBy>
  <dcterms:created xsi:type="dcterms:W3CDTF">2025-10-08T20:10:24Z</dcterms:created>
  <dcterms:modified xsi:type="dcterms:W3CDTF">2025-10-10T12:30:52Z</dcterms:modified>
</cp:coreProperties>
</file>