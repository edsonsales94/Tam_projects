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NT\GRUPO\2-FISCAL\2025\Importação\A MAN POWER\2504110004\"/>
    </mc:Choice>
  </mc:AlternateContent>
  <xr:revisionPtr revIDLastSave="0" documentId="13_ncr:1_{2323C075-D1F7-4158-AB1F-2AEBDC998A54}" xr6:coauthVersionLast="47" xr6:coauthVersionMax="47" xr10:uidLastSave="{00000000-0000-0000-0000-000000000000}"/>
  <bookViews>
    <workbookView xWindow="3684" yWindow="1896" windowWidth="17280" windowHeight="8880" xr2:uid="{0726FC44-1F4A-43AE-9BE6-34E1885704CE}"/>
  </bookViews>
  <sheets>
    <sheet name="Planilha1" sheetId="1" r:id="rId1"/>
  </sheets>
  <definedNames>
    <definedName name="_xlnm._FilterDatabase" localSheetId="0" hidden="1">Planilha1!$A$1:$AV$1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" i="1" l="1"/>
  <c r="AW4" i="1"/>
  <c r="AW2" i="1"/>
  <c r="AF15" i="1"/>
  <c r="AH15" i="1" s="1"/>
  <c r="AF14" i="1"/>
  <c r="AH14" i="1" s="1"/>
  <c r="AF11" i="1"/>
  <c r="AH11" i="1" s="1"/>
  <c r="AH10" i="1"/>
  <c r="AW5" i="1" l="1"/>
  <c r="AH12" i="1"/>
  <c r="AH16" i="1"/>
</calcChain>
</file>

<file path=xl/sharedStrings.xml><?xml version="1.0" encoding="utf-8"?>
<sst xmlns="http://schemas.openxmlformats.org/spreadsheetml/2006/main" count="72" uniqueCount="61">
  <si>
    <t>Nota</t>
  </si>
  <si>
    <t>Nr.DI/Duimp</t>
  </si>
  <si>
    <t>Data DI/Duimp</t>
  </si>
  <si>
    <t>Pedido</t>
  </si>
  <si>
    <t>Produto</t>
  </si>
  <si>
    <t>Descricao</t>
  </si>
  <si>
    <t>Adicao</t>
  </si>
  <si>
    <t>Seq.Item DI</t>
  </si>
  <si>
    <t>NCM</t>
  </si>
  <si>
    <t>Fob</t>
  </si>
  <si>
    <t>Frete</t>
  </si>
  <si>
    <t>Seguro</t>
  </si>
  <si>
    <t>Acrescimo</t>
  </si>
  <si>
    <t>Deducao</t>
  </si>
  <si>
    <t>Qtde</t>
  </si>
  <si>
    <t>Unidade</t>
  </si>
  <si>
    <t>CIF Unitario</t>
  </si>
  <si>
    <t>CIF Total</t>
  </si>
  <si>
    <t>II Recolhido</t>
  </si>
  <si>
    <t>% II</t>
  </si>
  <si>
    <t>Base do IPI</t>
  </si>
  <si>
    <t>% IPI</t>
  </si>
  <si>
    <t>IPI Recolhido</t>
  </si>
  <si>
    <t>Base do ICMS</t>
  </si>
  <si>
    <t>Base Final do ICMS</t>
  </si>
  <si>
    <t>% ICMS</t>
  </si>
  <si>
    <t>% Red.ICMS</t>
  </si>
  <si>
    <t>ICMS</t>
  </si>
  <si>
    <t>Base Pis/Cofins</t>
  </si>
  <si>
    <t>% Pis</t>
  </si>
  <si>
    <t>PIS Recolhido</t>
  </si>
  <si>
    <t>% Cofins</t>
  </si>
  <si>
    <t>COFINS Recolhido</t>
  </si>
  <si>
    <t>AntiDumping</t>
  </si>
  <si>
    <t>Tx. Siscomex</t>
  </si>
  <si>
    <t>Peso Liquido</t>
  </si>
  <si>
    <t>Peso Bruto</t>
  </si>
  <si>
    <t>Nr.LI</t>
  </si>
  <si>
    <t>FOB Unitario M.Neg</t>
  </si>
  <si>
    <t>FOB Total M.Neg</t>
  </si>
  <si>
    <t>FRT Unitario M.Neg</t>
  </si>
  <si>
    <t>FRT Total M.Neg</t>
  </si>
  <si>
    <t>Fabricante</t>
  </si>
  <si>
    <t>Exportador</t>
  </si>
  <si>
    <t>Marinha Mercante</t>
  </si>
  <si>
    <t>25/1203471-1</t>
  </si>
  <si>
    <t/>
  </si>
  <si>
    <t>070541 - CORRENTE DE TRANSMISSAO INDUSTRIAL DE ELOS ARTICULADOS, EM ACO LIGADO, TRATADO TERMICAMENTE, MODELO DID-IC A208B - 197L PARA USO EM MAQUINAS INDUSTRIAIS</t>
  </si>
  <si>
    <t>001</t>
  </si>
  <si>
    <t>7315.12.10</t>
  </si>
  <si>
    <t>MT</t>
  </si>
  <si>
    <t>KING MOTION CONCEPT CO., LTD.</t>
  </si>
  <si>
    <t>A MAN POWER TRANSMISSION CO., LTD.</t>
  </si>
  <si>
    <t>070544 - PARTES E PECAS EM ACO, DE CORRENTES INDUSTRIAIS DE ELOS ARTICULADOS, EM ACO LIGADO, TRATADO TERMICAMENTE SENDO EMENDA MODELO DID-IC CL A208B</t>
  </si>
  <si>
    <t>002</t>
  </si>
  <si>
    <t>7315.19.00</t>
  </si>
  <si>
    <t>PCS</t>
  </si>
  <si>
    <t>070545 - PARTES E PECAS EM ACO, DE CORRENTES INDUSTRIAIS DE ELOS ARTICULADOS, EM ACO LIGADO, TRATADO TERMICAMENTE SENDO REDUCAO MODELO DID-IC HL A208B</t>
  </si>
  <si>
    <t>Despesas</t>
  </si>
  <si>
    <t>lançar na nota</t>
  </si>
  <si>
    <t>descrição nos dados adicionais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</si>
</sst>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2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0" fontId="0" fillId="33" borderId="0" xfId="0" applyFill="1"/>
    <xf numFmtId="49" fontId="0" fillId="33" borderId="0" xfId="0" applyNumberFormat="1" applyFill="1"/>
    <xf numFmtId="0" fontId="0" fillId="0" borderId="0" xfId="0" applyAlignment="1">
      <alignment horizontal="center" wrapText="1"/>
    </xf>
    <xf numFmtId="43" fontId="0" fillId="0" borderId="0" xfId="1" applyFont="1"/>
    <xf numFmtId="10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43" fontId="0" fillId="33" borderId="0" xfId="1" applyFont="1" applyFill="1"/>
    <xf numFmtId="4" fontId="1" fillId="33" borderId="0" xfId="0" applyNumberFormat="1" applyFont="1" applyFill="1"/>
    <xf numFmtId="0" fontId="0" fillId="33" borderId="0" xfId="0" applyNumberFormat="1" applyFill="1"/>
    <xf numFmtId="43" fontId="1" fillId="33" borderId="0" xfId="1" applyFont="1" applyFill="1"/>
    <xf numFmtId="0" fontId="18" fillId="0" borderId="0" xfId="0" applyFont="1" applyAlignment="1">
      <alignment horizontal="center" wrapText="1"/>
    </xf>
    <xf numFmtId="0" fontId="0" fillId="0" borderId="0" xfId="0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86EB-E405-48AD-81E9-817BDE062312}">
  <dimension ref="A1:AW16"/>
  <sheetViews>
    <sheetView tabSelected="1" topLeftCell="AA1" workbookViewId="0">
      <selection activeCell="AW5" sqref="AW5"/>
    </sheetView>
  </sheetViews>
  <sheetFormatPr defaultRowHeight="14.4" x14ac:dyDescent="0.3"/>
  <cols>
    <col min="3" max="3" width="13.21875" bestFit="1" customWidth="1"/>
    <col min="4" max="5" width="8.88671875" style="1"/>
    <col min="6" max="6" width="8.88671875" style="15"/>
    <col min="8" max="8" width="8.88671875" style="1"/>
    <col min="11" max="12" width="8.88671875" style="21"/>
    <col min="27" max="28" width="9.109375" bestFit="1" customWidth="1"/>
  </cols>
  <sheetData>
    <row r="1" spans="1:49" x14ac:dyDescent="0.3">
      <c r="A1" t="s">
        <v>0</v>
      </c>
      <c r="B1" t="s">
        <v>1</v>
      </c>
      <c r="C1" t="s">
        <v>2</v>
      </c>
      <c r="D1" s="1" t="s">
        <v>3</v>
      </c>
      <c r="E1" s="10" t="s">
        <v>4</v>
      </c>
      <c r="F1" s="18"/>
      <c r="G1" t="s">
        <v>5</v>
      </c>
      <c r="H1" s="1" t="s">
        <v>6</v>
      </c>
      <c r="I1" t="s">
        <v>7</v>
      </c>
      <c r="J1" t="s">
        <v>8</v>
      </c>
      <c r="L1" s="9"/>
      <c r="M1" t="s">
        <v>9</v>
      </c>
      <c r="N1" t="s">
        <v>10</v>
      </c>
      <c r="O1" t="s">
        <v>11</v>
      </c>
      <c r="P1" t="s">
        <v>12</v>
      </c>
      <c r="Q1" t="s">
        <v>13</v>
      </c>
      <c r="R1" s="9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s="9" t="s">
        <v>20</v>
      </c>
      <c r="Y1" t="s">
        <v>21</v>
      </c>
      <c r="Z1" s="9" t="s">
        <v>22</v>
      </c>
      <c r="AA1" t="s">
        <v>23</v>
      </c>
      <c r="AB1" s="9" t="s">
        <v>24</v>
      </c>
      <c r="AC1" t="s">
        <v>25</v>
      </c>
      <c r="AD1" t="s">
        <v>26</v>
      </c>
      <c r="AE1" t="s">
        <v>27</v>
      </c>
      <c r="AF1" s="9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s="9" t="s">
        <v>58</v>
      </c>
    </row>
    <row r="2" spans="1:49" x14ac:dyDescent="0.3">
      <c r="A2">
        <v>66</v>
      </c>
      <c r="B2" t="s">
        <v>45</v>
      </c>
      <c r="C2" s="2">
        <v>45810</v>
      </c>
      <c r="D2" s="1" t="s">
        <v>46</v>
      </c>
      <c r="E2" s="15">
        <v>70541</v>
      </c>
      <c r="F2" s="15">
        <v>1</v>
      </c>
      <c r="G2" t="s">
        <v>47</v>
      </c>
      <c r="H2" s="1" t="s">
        <v>48</v>
      </c>
      <c r="I2">
        <v>1</v>
      </c>
      <c r="J2" t="s">
        <v>49</v>
      </c>
      <c r="K2" s="21">
        <v>500</v>
      </c>
      <c r="L2" s="21">
        <v>11.851261200000001</v>
      </c>
      <c r="M2" s="3">
        <v>5925.6306000000004</v>
      </c>
      <c r="N2">
        <v>5.3860330000000003</v>
      </c>
      <c r="O2">
        <v>218.56117599999999</v>
      </c>
      <c r="P2">
        <v>0</v>
      </c>
      <c r="Q2">
        <v>0</v>
      </c>
      <c r="R2">
        <v>500</v>
      </c>
      <c r="S2" t="s">
        <v>50</v>
      </c>
      <c r="T2">
        <v>12.299156</v>
      </c>
      <c r="U2" s="3">
        <v>6149.58</v>
      </c>
      <c r="V2">
        <v>774.85</v>
      </c>
      <c r="W2">
        <v>12.6</v>
      </c>
      <c r="X2" s="3">
        <v>6924.42</v>
      </c>
      <c r="Y2">
        <v>15</v>
      </c>
      <c r="Z2" s="3">
        <v>1038.6600000000001</v>
      </c>
      <c r="AA2" s="3">
        <v>8917.89</v>
      </c>
      <c r="AB2" s="3">
        <v>10875.47</v>
      </c>
      <c r="AC2">
        <v>18</v>
      </c>
      <c r="AD2">
        <v>0</v>
      </c>
      <c r="AE2" s="3">
        <v>1957.58</v>
      </c>
      <c r="AF2" s="3">
        <v>6149.58</v>
      </c>
      <c r="AG2">
        <v>2.1</v>
      </c>
      <c r="AH2">
        <v>129.13999999999999</v>
      </c>
      <c r="AI2">
        <v>10.45</v>
      </c>
      <c r="AJ2">
        <v>642.63</v>
      </c>
      <c r="AK2">
        <v>0</v>
      </c>
      <c r="AL2">
        <v>147.65</v>
      </c>
      <c r="AM2">
        <v>217</v>
      </c>
      <c r="AN2">
        <v>239.64348000000001</v>
      </c>
      <c r="AP2">
        <v>2.0760000000000001</v>
      </c>
      <c r="AQ2">
        <v>1038</v>
      </c>
      <c r="AR2">
        <v>1.887E-3</v>
      </c>
      <c r="AS2">
        <v>0.94347800000000004</v>
      </c>
      <c r="AT2" t="s">
        <v>51</v>
      </c>
      <c r="AU2" t="s">
        <v>52</v>
      </c>
      <c r="AV2">
        <v>35.381700000000002</v>
      </c>
      <c r="AW2" s="12">
        <f>AV2+AL2</f>
        <v>183.0317</v>
      </c>
    </row>
    <row r="3" spans="1:49" x14ac:dyDescent="0.3">
      <c r="A3">
        <v>66</v>
      </c>
      <c r="B3" t="s">
        <v>45</v>
      </c>
      <c r="C3" s="2">
        <v>45810</v>
      </c>
      <c r="D3" s="1" t="s">
        <v>46</v>
      </c>
      <c r="E3" s="15">
        <v>70544</v>
      </c>
      <c r="F3" s="15">
        <v>2</v>
      </c>
      <c r="G3" t="s">
        <v>53</v>
      </c>
      <c r="H3" s="1" t="s">
        <v>54</v>
      </c>
      <c r="I3">
        <v>1</v>
      </c>
      <c r="J3" t="s">
        <v>55</v>
      </c>
      <c r="K3" s="21">
        <v>800</v>
      </c>
      <c r="L3" s="21">
        <v>0.91339200000000009</v>
      </c>
      <c r="M3">
        <v>730.71360000000004</v>
      </c>
      <c r="N3">
        <v>0.22090299999999999</v>
      </c>
      <c r="O3">
        <v>26.951667</v>
      </c>
      <c r="P3">
        <v>0</v>
      </c>
      <c r="Q3">
        <v>0</v>
      </c>
      <c r="R3">
        <v>800</v>
      </c>
      <c r="S3" t="s">
        <v>56</v>
      </c>
      <c r="T3">
        <v>0.94735800000000003</v>
      </c>
      <c r="U3">
        <v>757.89</v>
      </c>
      <c r="V3">
        <v>95.49</v>
      </c>
      <c r="W3">
        <v>12.6</v>
      </c>
      <c r="X3">
        <v>853.38</v>
      </c>
      <c r="Y3">
        <v>9.75</v>
      </c>
      <c r="Z3">
        <v>83.2</v>
      </c>
      <c r="AA3" s="3">
        <v>1048.2</v>
      </c>
      <c r="AB3" s="3">
        <v>1278.29</v>
      </c>
      <c r="AC3">
        <v>18</v>
      </c>
      <c r="AD3">
        <v>0</v>
      </c>
      <c r="AE3">
        <v>230.09</v>
      </c>
      <c r="AF3">
        <v>757.89</v>
      </c>
      <c r="AG3">
        <v>2.1</v>
      </c>
      <c r="AH3">
        <v>15.92</v>
      </c>
      <c r="AI3">
        <v>9.65</v>
      </c>
      <c r="AJ3">
        <v>73.14</v>
      </c>
      <c r="AK3">
        <v>0</v>
      </c>
      <c r="AL3">
        <v>18.2</v>
      </c>
      <c r="AM3">
        <v>8.9</v>
      </c>
      <c r="AN3">
        <v>9.8286999999999995</v>
      </c>
      <c r="AP3">
        <v>0.16</v>
      </c>
      <c r="AQ3">
        <v>128</v>
      </c>
      <c r="AR3">
        <v>4.8399999999999997E-5</v>
      </c>
      <c r="AS3">
        <v>3.8695800000000002E-2</v>
      </c>
      <c r="AT3" t="s">
        <v>51</v>
      </c>
      <c r="AU3" t="s">
        <v>52</v>
      </c>
      <c r="AV3">
        <v>4.3605</v>
      </c>
      <c r="AW3" s="12">
        <f t="shared" ref="AW3:AW4" si="0">AV3+AL3</f>
        <v>22.560499999999998</v>
      </c>
    </row>
    <row r="4" spans="1:49" x14ac:dyDescent="0.3">
      <c r="A4">
        <v>66</v>
      </c>
      <c r="B4" t="s">
        <v>45</v>
      </c>
      <c r="C4" s="2">
        <v>45810</v>
      </c>
      <c r="D4" s="1" t="s">
        <v>46</v>
      </c>
      <c r="E4" s="15">
        <v>70545</v>
      </c>
      <c r="F4" s="15">
        <v>3</v>
      </c>
      <c r="G4" t="s">
        <v>57</v>
      </c>
      <c r="H4" s="1" t="s">
        <v>54</v>
      </c>
      <c r="I4">
        <v>2</v>
      </c>
      <c r="J4" t="s">
        <v>55</v>
      </c>
      <c r="K4" s="21">
        <v>400</v>
      </c>
      <c r="L4" s="21">
        <v>2.7059237999999999</v>
      </c>
      <c r="M4" s="3">
        <v>1082.36952</v>
      </c>
      <c r="N4">
        <v>0.10176399999999999</v>
      </c>
      <c r="O4">
        <v>39.922156999999999</v>
      </c>
      <c r="P4">
        <v>0</v>
      </c>
      <c r="Q4">
        <v>0</v>
      </c>
      <c r="R4">
        <v>400</v>
      </c>
      <c r="S4" t="s">
        <v>56</v>
      </c>
      <c r="T4">
        <v>2.805984</v>
      </c>
      <c r="U4" s="3">
        <v>1122.3900000000001</v>
      </c>
      <c r="V4">
        <v>141.41999999999999</v>
      </c>
      <c r="W4">
        <v>12.6</v>
      </c>
      <c r="X4" s="3">
        <v>1263.82</v>
      </c>
      <c r="Y4">
        <v>9.75</v>
      </c>
      <c r="Z4">
        <v>123.22</v>
      </c>
      <c r="AA4" s="3">
        <v>1552.32</v>
      </c>
      <c r="AB4" s="3">
        <v>1893.08</v>
      </c>
      <c r="AC4">
        <v>18</v>
      </c>
      <c r="AD4">
        <v>0</v>
      </c>
      <c r="AE4">
        <v>340.75</v>
      </c>
      <c r="AF4" s="3">
        <v>1122.3900000000001</v>
      </c>
      <c r="AG4">
        <v>2.1</v>
      </c>
      <c r="AH4">
        <v>23.57</v>
      </c>
      <c r="AI4">
        <v>9.65</v>
      </c>
      <c r="AJ4">
        <v>108.31</v>
      </c>
      <c r="AK4">
        <v>0</v>
      </c>
      <c r="AL4">
        <v>26.95</v>
      </c>
      <c r="AM4">
        <v>4.0999999999999996</v>
      </c>
      <c r="AN4">
        <v>4.5278299999999998</v>
      </c>
      <c r="AP4">
        <v>0.47399999999999998</v>
      </c>
      <c r="AQ4">
        <v>189.6</v>
      </c>
      <c r="AR4">
        <v>4.46E-5</v>
      </c>
      <c r="AS4">
        <v>1.78262E-2</v>
      </c>
      <c r="AT4" t="s">
        <v>51</v>
      </c>
      <c r="AU4" t="s">
        <v>52</v>
      </c>
      <c r="AV4">
        <v>6.4577</v>
      </c>
      <c r="AW4" s="12">
        <f t="shared" si="0"/>
        <v>33.407699999999998</v>
      </c>
    </row>
    <row r="5" spans="1:49" s="4" customFormat="1" x14ac:dyDescent="0.3">
      <c r="D5" s="5"/>
      <c r="E5" s="5"/>
      <c r="F5" s="14"/>
      <c r="H5" s="5"/>
      <c r="M5" s="6">
        <v>7738.7137200000006</v>
      </c>
      <c r="N5" s="17">
        <v>5.7087000000000003</v>
      </c>
      <c r="O5" s="17">
        <v>285.43499999999995</v>
      </c>
      <c r="P5" s="7">
        <v>0</v>
      </c>
      <c r="Q5" s="7">
        <v>0</v>
      </c>
      <c r="U5" s="6">
        <v>8029.8600000000006</v>
      </c>
      <c r="V5" s="6">
        <v>1011.76</v>
      </c>
      <c r="X5" s="17">
        <v>9041.6200000000008</v>
      </c>
      <c r="Z5" s="17">
        <v>1245.0800000000002</v>
      </c>
      <c r="AA5" s="6">
        <v>11518.41</v>
      </c>
      <c r="AB5" s="17">
        <v>14046.839999999998</v>
      </c>
      <c r="AE5" s="17">
        <v>2528.42</v>
      </c>
      <c r="AF5" s="17">
        <v>8029.8600000000006</v>
      </c>
      <c r="AH5" s="17">
        <v>168.62999999999997</v>
      </c>
      <c r="AJ5" s="6">
        <v>824.07999999999993</v>
      </c>
      <c r="AK5" s="7">
        <v>0</v>
      </c>
      <c r="AL5" s="6">
        <v>192.79999999999998</v>
      </c>
      <c r="AM5" s="8">
        <v>230</v>
      </c>
      <c r="AN5" s="8">
        <v>254.00001</v>
      </c>
      <c r="AV5" s="6">
        <v>46.199900000000007</v>
      </c>
      <c r="AW5" s="19">
        <f>SUM(AW2:AW4)</f>
        <v>238.9999</v>
      </c>
    </row>
    <row r="8" spans="1:49" x14ac:dyDescent="0.3">
      <c r="W8" s="13"/>
    </row>
    <row r="9" spans="1:49" x14ac:dyDescent="0.3">
      <c r="AH9" s="12"/>
    </row>
    <row r="10" spans="1:49" ht="22.2" customHeight="1" x14ac:dyDescent="0.3">
      <c r="AE10" s="20" t="s">
        <v>60</v>
      </c>
      <c r="AF10" s="3">
        <v>8029.8600000000006</v>
      </c>
      <c r="AG10" s="13">
        <v>9.6500000000000002E-2</v>
      </c>
      <c r="AH10" s="12">
        <f>AF10*AG10</f>
        <v>774.8814900000001</v>
      </c>
    </row>
    <row r="11" spans="1:49" x14ac:dyDescent="0.3">
      <c r="AE11" s="20"/>
      <c r="AF11" s="3">
        <f>AF2</f>
        <v>6149.58</v>
      </c>
      <c r="AG11" s="13">
        <v>8.0000000000000002E-3</v>
      </c>
      <c r="AH11" s="12">
        <f>AF11*AG11</f>
        <v>49.196640000000002</v>
      </c>
    </row>
    <row r="12" spans="1:49" x14ac:dyDescent="0.3">
      <c r="AH12" s="12">
        <f>SUM(AH10:AH11)</f>
        <v>824.0781300000001</v>
      </c>
    </row>
    <row r="13" spans="1:49" x14ac:dyDescent="0.3">
      <c r="AH13" s="12"/>
    </row>
    <row r="14" spans="1:49" x14ac:dyDescent="0.3">
      <c r="AE14" s="11" t="s">
        <v>59</v>
      </c>
      <c r="AF14" s="3">
        <f>AF3+AF4</f>
        <v>1880.2800000000002</v>
      </c>
      <c r="AG14" s="13">
        <v>9.6500000000000002E-2</v>
      </c>
      <c r="AH14" s="16">
        <f>AF14*AG14</f>
        <v>181.44702000000004</v>
      </c>
    </row>
    <row r="15" spans="1:49" x14ac:dyDescent="0.3">
      <c r="AE15" s="11"/>
      <c r="AF15" s="3">
        <f>AF2</f>
        <v>6149.58</v>
      </c>
      <c r="AG15" s="13">
        <v>0.1045</v>
      </c>
      <c r="AH15" s="16">
        <f>AF15*AG15</f>
        <v>642.63110999999992</v>
      </c>
    </row>
    <row r="16" spans="1:49" x14ac:dyDescent="0.3">
      <c r="AH16" s="12">
        <f>SUM(AH14:AH15)</f>
        <v>824.07812999999999</v>
      </c>
    </row>
  </sheetData>
  <autoFilter ref="A1:AV1" xr:uid="{70BC86EB-E405-48AD-81E9-817BDE062312}">
    <sortState xmlns:xlrd2="http://schemas.microsoft.com/office/spreadsheetml/2017/richdata2" ref="A2:AV5">
      <sortCondition ref="F1"/>
    </sortState>
  </autoFilter>
  <mergeCells count="2">
    <mergeCell ref="AE14:AE15"/>
    <mergeCell ref="AE10:AE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Lacalendola</dc:creator>
  <cp:lastModifiedBy>Diego Alexandre França Rocha</cp:lastModifiedBy>
  <dcterms:created xsi:type="dcterms:W3CDTF">2025-06-02T20:55:55Z</dcterms:created>
  <dcterms:modified xsi:type="dcterms:W3CDTF">2025-06-05T17:41:39Z</dcterms:modified>
</cp:coreProperties>
</file>